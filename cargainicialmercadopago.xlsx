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8_{0CA46015-ECFB-A84F-A436-C33E4813351C}" xr6:coauthVersionLast="47" xr6:coauthVersionMax="47" xr10:uidLastSave="{00000000-0000-0000-0000-000000000000}"/>
  <bookViews>
    <workbookView xWindow="0" yWindow="660" windowWidth="24260" windowHeight="13020" xr2:uid="{00000000-000D-0000-FFFF-FFFF00000000}"/>
  </bookViews>
  <sheets>
    <sheet name="Inventario Mercado Pago" sheetId="3" r:id="rId1"/>
  </sheets>
  <definedNames>
    <definedName name="_xlnm._FilterDatabase" localSheetId="0" hidden="1">'Inventario Mercado Pago'!#REF!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3" l="1"/>
  <c r="F3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4" i="3"/>
  <c r="F25" i="3"/>
  <c r="F26" i="3"/>
  <c r="F27" i="3"/>
  <c r="F28" i="3"/>
  <c r="F29" i="3"/>
  <c r="F30" i="3"/>
  <c r="F32" i="3"/>
  <c r="F2" i="3" l="1"/>
</calcChain>
</file>

<file path=xl/sharedStrings.xml><?xml version="1.0" encoding="utf-8"?>
<sst xmlns="http://schemas.openxmlformats.org/spreadsheetml/2006/main" count="108" uniqueCount="44">
  <si>
    <t>CÓDIGO</t>
  </si>
  <si>
    <t>Nombre de Usuario</t>
  </si>
  <si>
    <t>PV</t>
  </si>
  <si>
    <t>Descripción</t>
  </si>
  <si>
    <t>Salidas acumuladas</t>
  </si>
  <si>
    <t>Stock fisico</t>
  </si>
  <si>
    <t>Comentarios revisión física</t>
  </si>
  <si>
    <t>Comentarios Ventas</t>
  </si>
  <si>
    <t>Comentarios Almacén</t>
  </si>
  <si>
    <t>Comentarios Mercado Pago</t>
  </si>
  <si>
    <t>Letrero Abierto / Cerrado</t>
  </si>
  <si>
    <t>Karen Esquer</t>
  </si>
  <si>
    <t>PV63074</t>
  </si>
  <si>
    <t>Playera N CH / Consultor</t>
  </si>
  <si>
    <t>Playera N M / Consultor</t>
  </si>
  <si>
    <t>Playera N G / Consultor</t>
  </si>
  <si>
    <t>Playera G / Consultor</t>
  </si>
  <si>
    <t>Playera XG / Consultor</t>
  </si>
  <si>
    <t>PV63219</t>
  </si>
  <si>
    <t>Stopper cuadrado</t>
  </si>
  <si>
    <t>PV65475</t>
  </si>
  <si>
    <t>Sticker aceptamos tarjetas</t>
  </si>
  <si>
    <t>PV68874</t>
  </si>
  <si>
    <t>Display 6 meses</t>
  </si>
  <si>
    <t>Sticker 6 meses</t>
  </si>
  <si>
    <t>Comanda amarilla</t>
  </si>
  <si>
    <t>PV68875</t>
  </si>
  <si>
    <t xml:space="preserve">Folleto punto de venta </t>
  </si>
  <si>
    <t>PV71159</t>
  </si>
  <si>
    <t>Chupon plastico</t>
  </si>
  <si>
    <t>Carrete cadena</t>
  </si>
  <si>
    <t>Boligrafos Consultor</t>
  </si>
  <si>
    <t>Gorras Consultor</t>
  </si>
  <si>
    <t>Lanyard Consultor</t>
  </si>
  <si>
    <t>Libreta Negra Consultor</t>
  </si>
  <si>
    <t>Mochilas Consultor</t>
  </si>
  <si>
    <t>Credecial QR Consultor</t>
  </si>
  <si>
    <t>Display Armable de cartón</t>
  </si>
  <si>
    <t>Sticker paga a meses</t>
  </si>
  <si>
    <t xml:space="preserve">Piezas por confirmar tallas de acuerdo a la proxima distribucion </t>
  </si>
  <si>
    <t>Piezas solicitadas</t>
  </si>
  <si>
    <t>Sticker recarga tu celular</t>
  </si>
  <si>
    <t>Sticker aceptamos tarjetas debito/credito</t>
  </si>
  <si>
    <t>Display se aceptan tarjetas debito/credito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</si>
</sst>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indexed="64"/>
          <bgColor theme="1"/>
        </patternFill>
      </fill>
    </dxf>
  </dxfs>
  <tableStyles count="0" defaultTableStyle="TableStyleMedium9" defaultPivotStyle="PivotStyleLight16"/>
  <colors>
    <mruColors>
      <color rgb="FFF33D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CEAB6B-1861-4189-8C56-2B006E520BE3}" name="INV" displayName="INV" ref="A1:K32" insertRowShift="1" totalsRowShown="0" headerRowDxfId="11">
  <autoFilter ref="A1:K32" xr:uid="{9CCEAB6B-1861-4189-8C56-2B006E520BE3}">
    <filterColumn colId="6">
      <filters>
        <filter val="10046"/>
        <filter val="10454"/>
        <filter val="10532"/>
        <filter val="110"/>
        <filter val="1123"/>
        <filter val="1518"/>
        <filter val="27"/>
        <filter val="6"/>
        <filter val="620"/>
        <filter val="631"/>
        <filter val="763"/>
        <filter val="9600"/>
        <filter val="9631"/>
        <filter val="9683"/>
        <filter val="9710"/>
        <filter val="976"/>
        <filter val="977"/>
        <filter val="979"/>
        <filter val="983"/>
        <filter val="9940"/>
      </filters>
    </filterColumn>
  </autoFilter>
  <sortState xmlns:xlrd2="http://schemas.microsoft.com/office/spreadsheetml/2017/richdata2" ref="A2:K32">
    <sortCondition ref="C1:C32"/>
  </sortState>
  <tableColumns count="11">
    <tableColumn id="1" xr3:uid="{90A13992-6B7E-491C-A389-0FED51B29F4A}" name="CÓDIGO" dataDxfId="10"/>
    <tableColumn id="11" xr3:uid="{00285906-7489-4344-BD5C-90D42F2ADDC9}" name="Nombre de Usuario" dataDxfId="9"/>
    <tableColumn id="2" xr3:uid="{2E45B9EA-8917-4934-B979-C1BABD645E56}" name="PV" dataDxfId="8"/>
    <tableColumn id="3" xr3:uid="{3D3DEAA3-5F7F-4A74-BE8E-6C5CF0D644A5}" name="Descripción" dataDxfId="7"/>
    <tableColumn id="9" xr3:uid="{DBBA82AE-5B7E-46B4-B9AB-55FD042313D5}" name="Piezas solicitadas" dataDxfId="6"/>
    <tableColumn id="5" xr3:uid="{BBE6F258-31A6-485B-93F8-31A1F26371D3}" name="Salidas acumuladas" dataDxfId="5">
      <calculatedColumnFormula>INV[[#This Row],[Piezas solicitadas]]-INV[[#This Row],[Stock fisico]]</calculatedColumnFormula>
    </tableColumn>
    <tableColumn id="4" xr3:uid="{B15C42AD-130D-4E01-BC23-D629396E64FC}" name="Stock fisico" dataDxfId="4"/>
    <tableColumn id="7" xr3:uid="{450840D8-8CF0-4CAD-A2D2-44A5A0E1F09C}" name="Comentarios revisión física" dataDxfId="3"/>
    <tableColumn id="10" xr3:uid="{F5240B5D-8664-4132-A93F-7DFC0790B80B}" name="Comentarios Ventas" dataDxfId="2"/>
    <tableColumn id="15" xr3:uid="{80AFEF42-6A81-4ADF-8094-BBFE6E6AFC14}" name="Comentarios Almacén" dataDxfId="1"/>
    <tableColumn id="16" xr3:uid="{39B77DCA-AA29-4259-B60E-A8E93C142C29}" name="Comentarios Mercado Pag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A965-D4D8-4B27-8420-4A5A0C2F0C75}">
  <sheetPr>
    <tabColor rgb="FF00B0F0"/>
  </sheetPr>
  <dimension ref="A1:K32"/>
  <sheetViews>
    <sheetView tabSelected="1" zoomScale="90" zoomScaleNormal="110" workbookViewId="0">
      <selection activeCell="G3" sqref="G3"/>
    </sheetView>
  </sheetViews>
  <sheetFormatPr baseColWidth="10" defaultColWidth="11.5" defaultRowHeight="15" x14ac:dyDescent="0.2"/>
  <cols>
    <col min="1" max="1" width="13.1640625" style="3" customWidth="1"/>
    <col min="2" max="2" width="21" style="3" customWidth="1"/>
    <col min="3" max="3" width="20.5" style="3" customWidth="1"/>
    <col min="4" max="4" width="37" style="4" bestFit="1" customWidth="1"/>
    <col min="5" max="5" width="22.33203125" style="5" customWidth="1"/>
    <col min="6" max="6" width="22.1640625" style="3" customWidth="1"/>
    <col min="7" max="7" width="18.33203125" style="3" customWidth="1"/>
    <col min="8" max="8" width="55" style="3" customWidth="1"/>
    <col min="9" max="9" width="41.33203125" style="3" customWidth="1"/>
    <col min="10" max="10" width="40.6640625" style="3" bestFit="1" customWidth="1"/>
    <col min="11" max="11" width="40.6640625" style="1" bestFit="1" customWidth="1"/>
    <col min="12" max="16384" width="11.5" style="1"/>
  </cols>
  <sheetData>
    <row r="1" spans="1:1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40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7" t="s">
        <v>9</v>
      </c>
    </row>
    <row r="2" spans="1:11" x14ac:dyDescent="0.2">
      <c r="A2" s="6">
        <v>1</v>
      </c>
      <c r="B2" s="6" t="s">
        <v>11</v>
      </c>
      <c r="C2" s="6" t="s">
        <v>12</v>
      </c>
      <c r="D2" s="6" t="s">
        <v>32</v>
      </c>
      <c r="E2" s="8">
        <v>1000</v>
      </c>
      <c r="F2" s="19">
        <f>INV[[#This Row],[Piezas solicitadas]]-INV[[#This Row],[Stock fisico]]</f>
        <v>29</v>
      </c>
      <c r="G2" s="12">
        <v>971</v>
      </c>
      <c r="K2" s="3"/>
    </row>
    <row r="3" spans="1:11" x14ac:dyDescent="0.2">
      <c r="A3" s="6">
        <v>2</v>
      </c>
      <c r="B3" s="6" t="s">
        <v>11</v>
      </c>
      <c r="C3" s="6" t="s">
        <v>12</v>
      </c>
      <c r="D3" s="6" t="s">
        <v>31</v>
      </c>
      <c r="E3" s="8">
        <v>1000</v>
      </c>
      <c r="F3" s="19">
        <f>INV[[#This Row],[Piezas solicitadas]]-INV[[#This Row],[Stock fisico]]</f>
        <v>24</v>
      </c>
      <c r="G3" s="12">
        <v>976</v>
      </c>
      <c r="K3" s="3"/>
    </row>
    <row r="4" spans="1:11" x14ac:dyDescent="0.2">
      <c r="A4" s="6">
        <v>3</v>
      </c>
      <c r="B4" s="6" t="s">
        <v>11</v>
      </c>
      <c r="C4" s="6" t="s">
        <v>12</v>
      </c>
      <c r="D4" s="6" t="s">
        <v>33</v>
      </c>
      <c r="E4" s="8">
        <v>1000</v>
      </c>
      <c r="F4" s="19">
        <f>INV[[#This Row],[Piezas solicitadas]]-INV[[#This Row],[Stock fisico]]</f>
        <v>380</v>
      </c>
      <c r="G4" s="12">
        <v>620</v>
      </c>
      <c r="K4" s="3"/>
    </row>
    <row r="5" spans="1:11" x14ac:dyDescent="0.2">
      <c r="A5" s="6">
        <v>4</v>
      </c>
      <c r="B5" s="6" t="s">
        <v>11</v>
      </c>
      <c r="C5" s="6" t="s">
        <v>12</v>
      </c>
      <c r="D5" s="6" t="s">
        <v>34</v>
      </c>
      <c r="E5" s="8">
        <v>1000</v>
      </c>
      <c r="F5" s="19">
        <f>INV[[#This Row],[Piezas solicitadas]]-INV[[#This Row],[Stock fisico]]</f>
        <v>21</v>
      </c>
      <c r="G5" s="12">
        <v>979</v>
      </c>
      <c r="J5" s="13"/>
      <c r="K5" s="13"/>
    </row>
    <row r="6" spans="1:11" x14ac:dyDescent="0.2">
      <c r="A6" s="6">
        <v>5</v>
      </c>
      <c r="B6" s="6" t="s">
        <v>11</v>
      </c>
      <c r="C6" s="6" t="s">
        <v>12</v>
      </c>
      <c r="D6" s="6" t="s">
        <v>35</v>
      </c>
      <c r="E6" s="8">
        <v>1000</v>
      </c>
      <c r="F6" s="19">
        <f>INV[[#This Row],[Piezas solicitadas]]-INV[[#This Row],[Stock fisico]]</f>
        <v>17</v>
      </c>
      <c r="G6" s="12">
        <v>983</v>
      </c>
      <c r="K6" s="3"/>
    </row>
    <row r="7" spans="1:11" hidden="1" x14ac:dyDescent="0.2">
      <c r="A7" s="6">
        <v>6</v>
      </c>
      <c r="B7" s="6" t="s">
        <v>11</v>
      </c>
      <c r="C7" s="7" t="s">
        <v>12</v>
      </c>
      <c r="D7" s="7" t="s">
        <v>13</v>
      </c>
      <c r="E7" s="18">
        <v>242</v>
      </c>
      <c r="F7" s="20">
        <f>INV[[#This Row],[Piezas solicitadas]]-INV[[#This Row],[Stock fisico]]</f>
        <v>242</v>
      </c>
      <c r="G7" s="12">
        <v>0</v>
      </c>
      <c r="H7" s="14" t="s">
        <v>39</v>
      </c>
      <c r="I7" s="15"/>
      <c r="J7" s="15"/>
      <c r="K7" s="15"/>
    </row>
    <row r="8" spans="1:11" s="2" customFormat="1" hidden="1" x14ac:dyDescent="0.2">
      <c r="A8" s="6">
        <v>7</v>
      </c>
      <c r="B8" s="6" t="s">
        <v>11</v>
      </c>
      <c r="C8" s="7" t="s">
        <v>12</v>
      </c>
      <c r="D8" s="7" t="s">
        <v>13</v>
      </c>
      <c r="E8" s="9">
        <v>58</v>
      </c>
      <c r="F8" s="20">
        <f>INV[[#This Row],[Piezas solicitadas]]-INV[[#This Row],[Stock fisico]]</f>
        <v>58</v>
      </c>
      <c r="G8" s="12">
        <v>0</v>
      </c>
      <c r="H8" s="14"/>
      <c r="I8" s="15"/>
      <c r="J8" s="15"/>
      <c r="K8" s="15"/>
    </row>
    <row r="9" spans="1:11" hidden="1" x14ac:dyDescent="0.2">
      <c r="A9" s="6">
        <v>8</v>
      </c>
      <c r="B9" s="6" t="s">
        <v>11</v>
      </c>
      <c r="C9" s="7" t="s">
        <v>12</v>
      </c>
      <c r="D9" s="7" t="s">
        <v>14</v>
      </c>
      <c r="E9" s="18">
        <v>125</v>
      </c>
      <c r="F9" s="20">
        <f>INV[[#This Row],[Piezas solicitadas]]-INV[[#This Row],[Stock fisico]]</f>
        <v>125</v>
      </c>
      <c r="G9" s="12">
        <v>0</v>
      </c>
      <c r="H9" s="14" t="s">
        <v>39</v>
      </c>
      <c r="I9" s="15"/>
      <c r="J9" s="15"/>
      <c r="K9" s="15"/>
    </row>
    <row r="10" spans="1:11" s="2" customFormat="1" x14ac:dyDescent="0.2">
      <c r="A10" s="6">
        <v>9</v>
      </c>
      <c r="B10" s="6" t="s">
        <v>11</v>
      </c>
      <c r="C10" s="7" t="s">
        <v>12</v>
      </c>
      <c r="D10" s="7" t="s">
        <v>14</v>
      </c>
      <c r="E10" s="9">
        <v>175</v>
      </c>
      <c r="F10" s="20">
        <f>INV[[#This Row],[Piezas solicitadas]]-INV[[#This Row],[Stock fisico]]</f>
        <v>169</v>
      </c>
      <c r="G10" s="12">
        <v>6</v>
      </c>
      <c r="H10" s="14"/>
      <c r="I10" s="15"/>
      <c r="J10" s="15"/>
      <c r="K10" s="15"/>
    </row>
    <row r="11" spans="1:11" hidden="1" x14ac:dyDescent="0.2">
      <c r="A11" s="6">
        <v>10</v>
      </c>
      <c r="B11" s="6" t="s">
        <v>11</v>
      </c>
      <c r="C11" s="7" t="s">
        <v>12</v>
      </c>
      <c r="D11" s="7" t="s">
        <v>15</v>
      </c>
      <c r="E11" s="18">
        <v>164</v>
      </c>
      <c r="F11" s="20">
        <f>INV[[#This Row],[Piezas solicitadas]]-INV[[#This Row],[Stock fisico]]</f>
        <v>164</v>
      </c>
      <c r="G11" s="12">
        <v>0</v>
      </c>
      <c r="H11" s="14" t="s">
        <v>39</v>
      </c>
      <c r="I11" s="15"/>
      <c r="J11" s="15"/>
      <c r="K11" s="15"/>
    </row>
    <row r="12" spans="1:11" s="2" customFormat="1" x14ac:dyDescent="0.2">
      <c r="A12" s="6">
        <v>11</v>
      </c>
      <c r="B12" s="6" t="s">
        <v>11</v>
      </c>
      <c r="C12" s="7" t="s">
        <v>12</v>
      </c>
      <c r="D12" s="7" t="s">
        <v>16</v>
      </c>
      <c r="E12" s="9">
        <v>136</v>
      </c>
      <c r="F12" s="20">
        <f>INV[[#This Row],[Piezas solicitadas]]-INV[[#This Row],[Stock fisico]]</f>
        <v>109</v>
      </c>
      <c r="G12" s="12">
        <v>27</v>
      </c>
      <c r="H12" s="14"/>
      <c r="I12" s="15"/>
      <c r="J12" s="15"/>
      <c r="K12" s="15"/>
    </row>
    <row r="13" spans="1:11" s="2" customFormat="1" hidden="1" x14ac:dyDescent="0.2">
      <c r="A13" s="6">
        <v>12</v>
      </c>
      <c r="B13" s="6" t="s">
        <v>11</v>
      </c>
      <c r="C13" s="7" t="s">
        <v>12</v>
      </c>
      <c r="D13" s="7" t="s">
        <v>17</v>
      </c>
      <c r="E13" s="18">
        <v>17</v>
      </c>
      <c r="F13" s="20">
        <f>INV[[#This Row],[Piezas solicitadas]]-INV[[#This Row],[Stock fisico]]</f>
        <v>17</v>
      </c>
      <c r="G13" s="12">
        <v>0</v>
      </c>
      <c r="H13" s="14" t="s">
        <v>39</v>
      </c>
      <c r="I13" s="15"/>
      <c r="J13" s="15"/>
      <c r="K13" s="15"/>
    </row>
    <row r="14" spans="1:11" s="2" customFormat="1" hidden="1" x14ac:dyDescent="0.2">
      <c r="A14" s="6">
        <v>13</v>
      </c>
      <c r="B14" s="6" t="s">
        <v>11</v>
      </c>
      <c r="C14" s="7" t="s">
        <v>12</v>
      </c>
      <c r="D14" s="7" t="s">
        <v>17</v>
      </c>
      <c r="E14" s="9">
        <v>83</v>
      </c>
      <c r="F14" s="20">
        <f>INV[[#This Row],[Piezas solicitadas]]-INV[[#This Row],[Stock fisico]]</f>
        <v>83</v>
      </c>
      <c r="G14" s="12">
        <v>0</v>
      </c>
      <c r="H14" s="14"/>
      <c r="I14" s="15"/>
      <c r="J14" s="15"/>
      <c r="K14" s="15"/>
    </row>
    <row r="15" spans="1:11" s="2" customFormat="1" x14ac:dyDescent="0.2">
      <c r="A15" s="6">
        <v>14</v>
      </c>
      <c r="B15" s="6" t="s">
        <v>11</v>
      </c>
      <c r="C15" s="7" t="s">
        <v>12</v>
      </c>
      <c r="D15" s="7" t="s">
        <v>36</v>
      </c>
      <c r="E15" s="9">
        <v>1000</v>
      </c>
      <c r="F15" s="20">
        <f>INV[[#This Row],[Piezas solicitadas]]-INV[[#This Row],[Stock fisico]]</f>
        <v>369</v>
      </c>
      <c r="G15" s="12">
        <v>631</v>
      </c>
      <c r="H15" s="14"/>
      <c r="I15" s="15"/>
      <c r="J15" s="15"/>
      <c r="K15" s="15"/>
    </row>
    <row r="16" spans="1:11" s="2" customFormat="1" hidden="1" x14ac:dyDescent="0.2">
      <c r="A16" s="6">
        <v>15</v>
      </c>
      <c r="B16" s="6" t="s">
        <v>11</v>
      </c>
      <c r="C16" s="6" t="s">
        <v>18</v>
      </c>
      <c r="D16" s="6" t="s">
        <v>10</v>
      </c>
      <c r="E16" s="8">
        <v>1000</v>
      </c>
      <c r="F16" s="19">
        <f>INV[[#This Row],[Piezas solicitadas]]-INV[[#This Row],[Stock fisico]]</f>
        <v>1000</v>
      </c>
      <c r="G16" s="12">
        <v>0</v>
      </c>
      <c r="H16" s="14"/>
      <c r="I16" s="3"/>
      <c r="J16" s="3"/>
      <c r="K16" s="3"/>
    </row>
    <row r="17" spans="1:11" s="2" customFormat="1" hidden="1" x14ac:dyDescent="0.2">
      <c r="A17" s="6">
        <v>16</v>
      </c>
      <c r="B17" s="6" t="s">
        <v>11</v>
      </c>
      <c r="C17" s="6" t="s">
        <v>18</v>
      </c>
      <c r="D17" s="6" t="s">
        <v>37</v>
      </c>
      <c r="E17" s="8">
        <v>1000</v>
      </c>
      <c r="F17" s="19">
        <f>INV[[#This Row],[Piezas solicitadas]]-INV[[#This Row],[Stock fisico]]</f>
        <v>1000</v>
      </c>
      <c r="G17" s="12">
        <v>0</v>
      </c>
      <c r="H17" s="14"/>
      <c r="I17" s="3"/>
      <c r="J17" s="3"/>
      <c r="K17" s="3"/>
    </row>
    <row r="18" spans="1:11" s="2" customFormat="1" hidden="1" x14ac:dyDescent="0.2">
      <c r="A18" s="6">
        <v>17</v>
      </c>
      <c r="B18" s="6" t="s">
        <v>11</v>
      </c>
      <c r="C18" s="6" t="s">
        <v>18</v>
      </c>
      <c r="D18" s="6" t="s">
        <v>21</v>
      </c>
      <c r="E18" s="8">
        <v>1000</v>
      </c>
      <c r="F18" s="19">
        <f>INV[[#This Row],[Piezas solicitadas]]-INV[[#This Row],[Stock fisico]]</f>
        <v>1000</v>
      </c>
      <c r="G18" s="12">
        <v>0</v>
      </c>
      <c r="H18" s="14"/>
      <c r="I18" s="3"/>
      <c r="J18" s="3"/>
      <c r="K18" s="3"/>
    </row>
    <row r="19" spans="1:11" s="2" customFormat="1" hidden="1" x14ac:dyDescent="0.2">
      <c r="A19" s="6">
        <v>18</v>
      </c>
      <c r="B19" s="6" t="s">
        <v>11</v>
      </c>
      <c r="C19" s="6" t="s">
        <v>18</v>
      </c>
      <c r="D19" s="6" t="s">
        <v>38</v>
      </c>
      <c r="E19" s="8">
        <v>1000</v>
      </c>
      <c r="F19" s="19">
        <f>INV[[#This Row],[Piezas solicitadas]]-INV[[#This Row],[Stock fisico]]</f>
        <v>1000</v>
      </c>
      <c r="G19" s="12">
        <v>0</v>
      </c>
      <c r="H19" s="14"/>
      <c r="I19" s="3"/>
      <c r="J19" s="3"/>
      <c r="K19" s="3"/>
    </row>
    <row r="20" spans="1:11" s="2" customFormat="1" hidden="1" x14ac:dyDescent="0.2">
      <c r="A20" s="6">
        <v>19</v>
      </c>
      <c r="B20" s="6" t="s">
        <v>11</v>
      </c>
      <c r="C20" s="6" t="s">
        <v>18</v>
      </c>
      <c r="D20" s="6" t="s">
        <v>19</v>
      </c>
      <c r="E20" s="8">
        <v>1000</v>
      </c>
      <c r="F20" s="19">
        <f>INV[[#This Row],[Piezas solicitadas]]-INV[[#This Row],[Stock fisico]]</f>
        <v>1000</v>
      </c>
      <c r="G20" s="12">
        <v>0</v>
      </c>
      <c r="H20" s="14"/>
      <c r="I20" s="3"/>
      <c r="J20" s="3"/>
      <c r="K20" s="3"/>
    </row>
    <row r="21" spans="1:11" s="2" customFormat="1" x14ac:dyDescent="0.2">
      <c r="A21" s="6">
        <v>20</v>
      </c>
      <c r="B21" s="6" t="s">
        <v>11</v>
      </c>
      <c r="C21" s="7" t="s">
        <v>20</v>
      </c>
      <c r="D21" s="6" t="s">
        <v>41</v>
      </c>
      <c r="E21" s="10">
        <v>10000</v>
      </c>
      <c r="F21" s="19">
        <f>INV[[#This Row],[Piezas solicitadas]]-INV[[#This Row],[Stock fisico]]</f>
        <v>369</v>
      </c>
      <c r="G21" s="12">
        <v>9631</v>
      </c>
      <c r="H21" s="21"/>
      <c r="I21" s="3"/>
      <c r="J21" s="3"/>
      <c r="K21" s="3"/>
    </row>
    <row r="22" spans="1:11" s="2" customFormat="1" x14ac:dyDescent="0.2">
      <c r="A22" s="6">
        <v>21</v>
      </c>
      <c r="B22" s="7" t="s">
        <v>11</v>
      </c>
      <c r="C22" s="7" t="s">
        <v>20</v>
      </c>
      <c r="D22" s="7" t="s">
        <v>42</v>
      </c>
      <c r="E22" s="10">
        <v>10000</v>
      </c>
      <c r="F22" s="20">
        <f>INV[[#This Row],[Piezas solicitadas]]-INV[[#This Row],[Stock fisico]]</f>
        <v>8632</v>
      </c>
      <c r="G22" s="12">
        <v>1368</v>
      </c>
      <c r="H22" s="15"/>
      <c r="I22" s="15"/>
      <c r="J22" s="15"/>
      <c r="K22" s="15"/>
    </row>
    <row r="23" spans="1:11" s="2" customFormat="1" x14ac:dyDescent="0.2">
      <c r="A23" s="6">
        <v>22</v>
      </c>
      <c r="B23" s="7" t="s">
        <v>11</v>
      </c>
      <c r="C23" s="7" t="s">
        <v>20</v>
      </c>
      <c r="D23" s="22" t="s">
        <v>38</v>
      </c>
      <c r="E23" s="10">
        <v>10000</v>
      </c>
      <c r="F23" s="24">
        <f>E23-G23</f>
        <v>290</v>
      </c>
      <c r="G23" s="12">
        <v>9710</v>
      </c>
      <c r="H23" s="15"/>
      <c r="I23" s="15"/>
      <c r="J23" s="15"/>
      <c r="K23" s="15"/>
    </row>
    <row r="24" spans="1:11" s="2" customFormat="1" x14ac:dyDescent="0.2">
      <c r="A24" s="6">
        <v>23</v>
      </c>
      <c r="B24" s="7" t="s">
        <v>11</v>
      </c>
      <c r="C24" s="7" t="s">
        <v>20</v>
      </c>
      <c r="D24" s="7" t="s">
        <v>43</v>
      </c>
      <c r="E24" s="10">
        <v>10000</v>
      </c>
      <c r="F24" s="20">
        <f>INV[[#This Row],[Piezas solicitadas]]-INV[[#This Row],[Stock fisico]]</f>
        <v>8877</v>
      </c>
      <c r="G24" s="12">
        <v>1123</v>
      </c>
      <c r="H24" s="15"/>
      <c r="I24" s="15"/>
      <c r="J24" s="15"/>
      <c r="K24" s="15"/>
    </row>
    <row r="25" spans="1:11" s="2" customFormat="1" x14ac:dyDescent="0.2">
      <c r="A25" s="6">
        <v>24</v>
      </c>
      <c r="B25" s="6" t="s">
        <v>11</v>
      </c>
      <c r="C25" s="6" t="s">
        <v>22</v>
      </c>
      <c r="D25" s="6" t="s">
        <v>23</v>
      </c>
      <c r="E25" s="11">
        <v>10000</v>
      </c>
      <c r="F25" s="19">
        <f>INV[[#This Row],[Piezas solicitadas]]-INV[[#This Row],[Stock fisico]]</f>
        <v>-463</v>
      </c>
      <c r="G25" s="12">
        <v>10463</v>
      </c>
      <c r="H25" s="3"/>
      <c r="I25" s="3"/>
      <c r="J25" s="3"/>
      <c r="K25" s="3"/>
    </row>
    <row r="26" spans="1:11" s="2" customFormat="1" x14ac:dyDescent="0.2">
      <c r="A26" s="6">
        <v>25</v>
      </c>
      <c r="B26" s="6" t="s">
        <v>11</v>
      </c>
      <c r="C26" s="6" t="s">
        <v>22</v>
      </c>
      <c r="D26" s="6" t="s">
        <v>24</v>
      </c>
      <c r="E26" s="11">
        <v>10000</v>
      </c>
      <c r="F26" s="19">
        <f>INV[[#This Row],[Piezas solicitadas]]-INV[[#This Row],[Stock fisico]]</f>
        <v>-46</v>
      </c>
      <c r="G26" s="12">
        <v>10046</v>
      </c>
      <c r="H26" s="3"/>
      <c r="I26" s="3"/>
      <c r="J26" s="3"/>
      <c r="K26" s="3"/>
    </row>
    <row r="27" spans="1:11" x14ac:dyDescent="0.2">
      <c r="A27" s="6">
        <v>26</v>
      </c>
      <c r="B27" s="6" t="s">
        <v>11</v>
      </c>
      <c r="C27" s="6" t="s">
        <v>22</v>
      </c>
      <c r="D27" s="6" t="s">
        <v>25</v>
      </c>
      <c r="E27" s="11">
        <v>10000</v>
      </c>
      <c r="F27" s="19">
        <f>INV[[#This Row],[Piezas solicitadas]]-INV[[#This Row],[Stock fisico]]</f>
        <v>342</v>
      </c>
      <c r="G27" s="12">
        <v>9658</v>
      </c>
      <c r="H27" s="14"/>
      <c r="K27" s="3"/>
    </row>
    <row r="28" spans="1:11" x14ac:dyDescent="0.2">
      <c r="A28" s="6">
        <v>27</v>
      </c>
      <c r="B28" s="6" t="s">
        <v>11</v>
      </c>
      <c r="C28" s="6" t="s">
        <v>26</v>
      </c>
      <c r="D28" s="6" t="s">
        <v>27</v>
      </c>
      <c r="E28" s="11">
        <v>40000</v>
      </c>
      <c r="F28" s="19">
        <f>INV[[#This Row],[Piezas solicitadas]]-INV[[#This Row],[Stock fisico]]</f>
        <v>39237</v>
      </c>
      <c r="G28" s="12">
        <v>763</v>
      </c>
      <c r="K28" s="3"/>
    </row>
    <row r="29" spans="1:11" s="2" customFormat="1" x14ac:dyDescent="0.2">
      <c r="A29" s="6">
        <v>28</v>
      </c>
      <c r="B29" s="6" t="s">
        <v>11</v>
      </c>
      <c r="C29" s="6" t="s">
        <v>26</v>
      </c>
      <c r="D29" s="6" t="s">
        <v>19</v>
      </c>
      <c r="E29" s="11">
        <v>10000</v>
      </c>
      <c r="F29" s="19">
        <f>INV[[#This Row],[Piezas solicitadas]]-INV[[#This Row],[Stock fisico]]</f>
        <v>110</v>
      </c>
      <c r="G29" s="12">
        <v>9890</v>
      </c>
      <c r="H29" s="3"/>
      <c r="I29" s="3"/>
      <c r="J29" s="3"/>
      <c r="K29" s="3"/>
    </row>
    <row r="30" spans="1:11" x14ac:dyDescent="0.2">
      <c r="A30" s="6">
        <v>29</v>
      </c>
      <c r="B30" s="6" t="s">
        <v>11</v>
      </c>
      <c r="C30" s="6" t="s">
        <v>28</v>
      </c>
      <c r="D30" s="6" t="s">
        <v>10</v>
      </c>
      <c r="E30" s="11">
        <v>10000</v>
      </c>
      <c r="F30" s="19">
        <f>INV[[#This Row],[Piezas solicitadas]]-INV[[#This Row],[Stock fisico]]</f>
        <v>-541</v>
      </c>
      <c r="G30" s="12">
        <v>10541</v>
      </c>
      <c r="K30" s="3"/>
    </row>
    <row r="31" spans="1:11" x14ac:dyDescent="0.2">
      <c r="A31" s="6">
        <v>30</v>
      </c>
      <c r="B31" s="6" t="s">
        <v>11</v>
      </c>
      <c r="C31" s="6" t="s">
        <v>28</v>
      </c>
      <c r="D31" s="6" t="s">
        <v>29</v>
      </c>
      <c r="E31" s="11">
        <v>10000</v>
      </c>
      <c r="F31" s="23">
        <f>INV[[#This Row],[Piezas solicitadas]]-INV[[#This Row],[Stock fisico]]</f>
        <v>400</v>
      </c>
      <c r="G31" s="12">
        <v>9600</v>
      </c>
      <c r="K31" s="3"/>
    </row>
    <row r="32" spans="1:11" x14ac:dyDescent="0.2">
      <c r="A32" s="6">
        <v>31</v>
      </c>
      <c r="B32" s="6" t="s">
        <v>11</v>
      </c>
      <c r="C32" s="7" t="s">
        <v>28</v>
      </c>
      <c r="D32" s="7" t="s">
        <v>30</v>
      </c>
      <c r="E32" s="9">
        <v>110</v>
      </c>
      <c r="F32" s="20">
        <f>INV[[#This Row],[Piezas solicitadas]]-INV[[#This Row],[Stock fisico]]</f>
        <v>0</v>
      </c>
      <c r="G32" s="12">
        <v>110</v>
      </c>
      <c r="H32" s="15"/>
      <c r="I32" s="15"/>
      <c r="J32" s="15"/>
      <c r="K32" s="15"/>
    </row>
  </sheetData>
  <phoneticPr fontId="1" type="noConversion"/>
  <pageMargins left="0.7" right="0.7" top="0.75" bottom="0.75" header="0.3" footer="0.3"/>
  <pageSetup fitToWidth="0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Mercado Pago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Ivan Garcia</cp:lastModifiedBy>
  <cp:revision/>
  <dcterms:created xsi:type="dcterms:W3CDTF">2026-02-10T17:33:37Z</dcterms:created>
  <dcterms:modified xsi:type="dcterms:W3CDTF">2026-05-15T00:30:01Z</dcterms:modified>
  <cp:category/>
  <cp:contentStatus/>
</cp:coreProperties>
</file>